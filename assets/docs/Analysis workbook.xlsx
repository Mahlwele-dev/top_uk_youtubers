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acza-my.sharepoint.com/personal/202004757_myturf_ul_ac_za/Documents/Documents/"/>
    </mc:Choice>
  </mc:AlternateContent>
  <xr:revisionPtr revIDLastSave="0" documentId="8_{201661C1-503C-4949-80A0-57E095FE403E}" xr6:coauthVersionLast="47" xr6:coauthVersionMax="47" xr10:uidLastSave="{00000000-0000-0000-0000-000000000000}"/>
  <bookViews>
    <workbookView xWindow="-110" yWindow="-110" windowWidth="19420" windowHeight="10300" xr2:uid="{BA7A47BD-9921-4991-93F9-BFD1DBD58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L10" i="1"/>
  <c r="L8" i="1"/>
  <c r="D9" i="1"/>
  <c r="F9" i="1" s="1"/>
  <c r="H9" i="1" s="1"/>
  <c r="J9" i="1" s="1"/>
  <c r="D10" i="1"/>
  <c r="M10" i="1" s="1"/>
  <c r="D8" i="1"/>
  <c r="M8" i="1" s="1"/>
  <c r="F8" i="1" l="1"/>
  <c r="N8" i="1" s="1"/>
  <c r="F10" i="1"/>
  <c r="N10" i="1" s="1"/>
  <c r="M9" i="1"/>
  <c r="N9" i="1"/>
  <c r="O9" i="1"/>
  <c r="H10" i="1" l="1"/>
  <c r="J10" i="1" s="1"/>
  <c r="H8" i="1"/>
  <c r="O10" i="1" l="1"/>
  <c r="O8" i="1"/>
  <c r="J8" i="1"/>
</calcChain>
</file>

<file path=xl/sharedStrings.xml><?xml version="1.0" encoding="utf-8"?>
<sst xmlns="http://schemas.openxmlformats.org/spreadsheetml/2006/main" count="40" uniqueCount="39">
  <si>
    <t>Total Subscriber Analysis</t>
  </si>
  <si>
    <t>Reconciliations (Excel vs SQL)</t>
  </si>
  <si>
    <t>Channel Name</t>
  </si>
  <si>
    <t>Avg views per vid(Excel)</t>
  </si>
  <si>
    <t>Avg Views per vid(SQL)</t>
  </si>
  <si>
    <t>Net Profit (Excel)</t>
  </si>
  <si>
    <t>Net Profit (SQL)</t>
  </si>
  <si>
    <t>Difference</t>
  </si>
  <si>
    <t>Conversion rate</t>
  </si>
  <si>
    <t>Product cost</t>
  </si>
  <si>
    <t>campaign cost</t>
  </si>
  <si>
    <t>Potential product sales per video (SQL)</t>
  </si>
  <si>
    <t>Potential product sales per video (Excel)</t>
  </si>
  <si>
    <t>Potential Revenue per video (Excel)</t>
  </si>
  <si>
    <t>Potential Revenue per Video (SQL)</t>
  </si>
  <si>
    <t>NoCopyrights sounds</t>
  </si>
  <si>
    <t>DanTDM</t>
  </si>
  <si>
    <t>Dan Rhodes</t>
  </si>
  <si>
    <t>Avg views per vid(Excel vs SQL)</t>
  </si>
  <si>
    <t>Potential product sales per video (Excel VS SQL)</t>
  </si>
  <si>
    <t>Potential Revenue per video (Excel VS SQL)</t>
  </si>
  <si>
    <t>Net Profit (Excel VS SQL)</t>
  </si>
  <si>
    <t>Difference (Excel vs SQL)</t>
  </si>
  <si>
    <t>Recommendations</t>
  </si>
  <si>
    <t>Channel_name</t>
  </si>
  <si>
    <t>NoCopyrightSounds</t>
  </si>
  <si>
    <t>Average views per video</t>
  </si>
  <si>
    <t>Views per Subscriber</t>
  </si>
  <si>
    <t>Subscriber Engagement rate</t>
  </si>
  <si>
    <t>Net Profit</t>
  </si>
  <si>
    <t>0.88M</t>
  </si>
  <si>
    <t>5.37M</t>
  </si>
  <si>
    <t>9.82M</t>
  </si>
  <si>
    <t>1.73K</t>
  </si>
  <si>
    <t>7.65K</t>
  </si>
  <si>
    <t>13.3K</t>
  </si>
  <si>
    <t>METRICS</t>
  </si>
  <si>
    <t>I recommended Dan Rhodes after comparing audience engagement, reach efficiency and projected campaign profitability—not simply subscriber count.</t>
  </si>
  <si>
    <t>DanRhodes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</si>
</sst>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8" borderId="0" xfId="0" applyFont="1" applyFill="1"/>
    <xf numFmtId="0" fontId="0" fillId="8" borderId="0" xfId="0" applyFill="1"/>
    <xf numFmtId="0" fontId="5" fillId="0" borderId="0" xfId="0" applyFont="1" applyAlignment="1">
      <alignment horizontal="center"/>
    </xf>
    <xf numFmtId="0" fontId="0" fillId="0" borderId="1" xfId="0" applyBorder="1"/>
    <xf numFmtId="0" fontId="4" fillId="4" borderId="1" xfId="4" applyBorder="1" applyAlignment="1">
      <alignment horizontal="center" wrapText="1"/>
    </xf>
    <xf numFmtId="0" fontId="0" fillId="0" borderId="0" xfId="0" applyBorder="1"/>
    <xf numFmtId="0" fontId="1" fillId="6" borderId="1" xfId="6" applyBorder="1"/>
    <xf numFmtId="0" fontId="0" fillId="0" borderId="0" xfId="0" applyAlignment="1">
      <alignment vertical="center"/>
    </xf>
    <xf numFmtId="0" fontId="0" fillId="0" borderId="1" xfId="0" applyBorder="1" applyAlignment="1"/>
    <xf numFmtId="43" fontId="0" fillId="0" borderId="1" xfId="1" applyFont="1" applyBorder="1"/>
    <xf numFmtId="165" fontId="0" fillId="0" borderId="1" xfId="0" applyNumberFormat="1" applyBorder="1"/>
    <xf numFmtId="165" fontId="2" fillId="2" borderId="1" xfId="2" applyNumberFormat="1" applyFont="1" applyFill="1" applyBorder="1" applyAlignment="1">
      <alignment horizontal="center" wrapText="1"/>
    </xf>
    <xf numFmtId="164" fontId="3" fillId="3" borderId="1" xfId="2" applyNumberFormat="1" applyFont="1" applyFill="1" applyBorder="1" applyAlignment="1">
      <alignment horizontal="center" wrapText="1"/>
    </xf>
    <xf numFmtId="165" fontId="0" fillId="0" borderId="1" xfId="2" applyNumberFormat="1" applyFont="1" applyBorder="1" applyAlignment="1"/>
    <xf numFmtId="0" fontId="0" fillId="5" borderId="1" xfId="5" applyFont="1" applyBorder="1" applyAlignment="1">
      <alignment horizontal="center" wrapText="1"/>
    </xf>
    <xf numFmtId="0" fontId="5" fillId="9" borderId="0" xfId="0" applyFont="1" applyFill="1" applyAlignment="1">
      <alignment horizontal="center"/>
    </xf>
    <xf numFmtId="0" fontId="0" fillId="0" borderId="3" xfId="0" applyBorder="1"/>
    <xf numFmtId="44" fontId="0" fillId="0" borderId="2" xfId="2" applyFont="1" applyBorder="1"/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7" xfId="0" applyBorder="1"/>
    <xf numFmtId="43" fontId="0" fillId="0" borderId="8" xfId="1" applyFont="1" applyBorder="1"/>
    <xf numFmtId="44" fontId="0" fillId="0" borderId="9" xfId="2" applyFont="1" applyBorder="1"/>
    <xf numFmtId="0" fontId="7" fillId="0" borderId="1" xfId="0" applyFont="1" applyBorder="1" applyAlignment="1">
      <alignment horizontal="center" wrapText="1"/>
    </xf>
    <xf numFmtId="0" fontId="8" fillId="4" borderId="1" xfId="4" applyFont="1" applyBorder="1" applyAlignment="1">
      <alignment horizontal="center" wrapText="1"/>
    </xf>
    <xf numFmtId="164" fontId="9" fillId="3" borderId="1" xfId="2" applyNumberFormat="1" applyFont="1" applyFill="1" applyBorder="1" applyAlignment="1">
      <alignment horizontal="center" wrapText="1"/>
    </xf>
    <xf numFmtId="165" fontId="9" fillId="3" borderId="1" xfId="2" applyNumberFormat="1" applyFont="1" applyFill="1" applyBorder="1" applyAlignment="1">
      <alignment horizontal="center" wrapText="1"/>
    </xf>
    <xf numFmtId="165" fontId="10" fillId="2" borderId="1" xfId="2" applyNumberFormat="1" applyFont="1" applyFill="1" applyBorder="1" applyAlignment="1">
      <alignment horizontal="center" wrapText="1"/>
    </xf>
    <xf numFmtId="0" fontId="10" fillId="2" borderId="1" xfId="3" applyFont="1" applyBorder="1" applyAlignment="1">
      <alignment horizontal="center" wrapText="1"/>
    </xf>
    <xf numFmtId="0" fontId="7" fillId="5" borderId="1" xfId="5" applyFont="1" applyBorder="1" applyAlignment="1">
      <alignment horizontal="center" wrapText="1"/>
    </xf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165" fontId="7" fillId="0" borderId="1" xfId="2" applyNumberFormat="1" applyFont="1" applyBorder="1"/>
    <xf numFmtId="165" fontId="7" fillId="0" borderId="1" xfId="0" applyNumberFormat="1" applyFont="1" applyBorder="1"/>
    <xf numFmtId="0" fontId="7" fillId="0" borderId="1" xfId="0" applyFont="1" applyBorder="1" applyAlignment="1">
      <alignment wrapText="1"/>
    </xf>
    <xf numFmtId="0" fontId="6" fillId="8" borderId="1" xfId="0" applyFont="1" applyFill="1" applyBorder="1" applyAlignment="1">
      <alignment horizontal="center"/>
    </xf>
    <xf numFmtId="0" fontId="5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7" borderId="0" xfId="7" applyFont="1" applyAlignment="1">
      <alignment horizontal="center"/>
    </xf>
  </cellXfs>
  <cellStyles count="8">
    <cellStyle name="20% - Accent1" xfId="5" builtinId="30"/>
    <cellStyle name="40% - Accent1" xfId="6" builtinId="31"/>
    <cellStyle name="60% - Accent3" xfId="7" builtinId="40"/>
    <cellStyle name="Comma" xfId="1" builtinId="3"/>
    <cellStyle name="Currency" xfId="2" builtinId="4"/>
    <cellStyle name="Good" xfId="3" builtinId="26"/>
    <cellStyle name="Neutral" xfId="4" builtinId="28"/>
    <cellStyle name="Normal" xfId="0" builtinId="0"/>
  </cellStyles>
  <dxfs count="12">
    <dxf>
      <fill>
        <patternFill>
          <bgColor rgb="FFFF33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DBC30-197E-401F-9EA1-AD1317B81D50}" name="Table1" displayName="Table1" ref="A13:E16" totalsRowShown="0" headerRowDxfId="2" dataDxfId="3" headerRowBorderDxfId="10" tableBorderDxfId="11" totalsRowBorderDxfId="9" dataCellStyle="Comma">
  <autoFilter ref="A13:E16" xr:uid="{808DBC30-197E-401F-9EA1-AD1317B81D50}"/>
  <sortState xmlns:xlrd2="http://schemas.microsoft.com/office/spreadsheetml/2017/richdata2" ref="A14:E16">
    <sortCondition descending="1" ref="E13:E16"/>
  </sortState>
  <tableColumns count="5">
    <tableColumn id="1" xr3:uid="{E3F0C29B-AC82-4192-BA99-35197B54F1B7}" name="Channel_name" dataDxfId="8"/>
    <tableColumn id="2" xr3:uid="{B09A3891-0CCF-4BAF-91BE-647755F6AA7E}" name="Average views per video" dataDxfId="7" dataCellStyle="Comma"/>
    <tableColumn id="3" xr3:uid="{C407DC3E-3F29-4676-8440-19DC7C2122F5}" name="Views per Subscriber" dataDxfId="6" dataCellStyle="Comma"/>
    <tableColumn id="4" xr3:uid="{C9E9D1E6-AFE6-4443-AE43-7988506F246B}" name="Subscriber Engagement rate" dataDxfId="5" dataCellStyle="Comma"/>
    <tableColumn id="5" xr3:uid="{DC61A0E4-C188-4F80-A94B-CC73C563FE09}" name="Net Profit" dataDxfId="4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CCB6-C032-45DE-8AAD-CF8DE656060E}">
  <dimension ref="A1:O19"/>
  <sheetViews>
    <sheetView tabSelected="1" topLeftCell="A7" zoomScale="89" zoomScaleNormal="89" workbookViewId="0">
      <selection activeCell="D19" sqref="D19"/>
    </sheetView>
  </sheetViews>
  <sheetFormatPr defaultRowHeight="14.5" x14ac:dyDescent="0.35"/>
  <cols>
    <col min="1" max="1" width="18.08984375" bestFit="1" customWidth="1"/>
    <col min="2" max="2" width="23.08984375" customWidth="1"/>
    <col min="3" max="3" width="20.90625" customWidth="1"/>
    <col min="4" max="4" width="26.90625" customWidth="1"/>
    <col min="5" max="5" width="17" customWidth="1"/>
    <col min="6" max="6" width="14.08984375" customWidth="1"/>
    <col min="7" max="7" width="14.7265625" customWidth="1"/>
    <col min="8" max="8" width="13" customWidth="1"/>
    <col min="9" max="9" width="12.6328125" customWidth="1"/>
    <col min="10" max="10" width="12.1796875" customWidth="1"/>
    <col min="12" max="12" width="16.36328125" customWidth="1"/>
    <col min="13" max="13" width="15.453125" customWidth="1"/>
    <col min="14" max="14" width="18.1796875" customWidth="1"/>
    <col min="15" max="15" width="13.08984375" customWidth="1"/>
  </cols>
  <sheetData>
    <row r="1" spans="1:15" x14ac:dyDescent="0.35">
      <c r="A1" s="2" t="s">
        <v>0</v>
      </c>
      <c r="B1" s="3"/>
      <c r="C1" s="3"/>
    </row>
    <row r="3" spans="1:15" x14ac:dyDescent="0.35">
      <c r="A3" s="4" t="s">
        <v>1</v>
      </c>
      <c r="B3" s="4"/>
      <c r="C3" s="8" t="s">
        <v>8</v>
      </c>
      <c r="D3" s="10">
        <v>0.02</v>
      </c>
      <c r="E3" s="7"/>
      <c r="F3" s="7"/>
      <c r="G3" s="7"/>
    </row>
    <row r="4" spans="1:15" x14ac:dyDescent="0.35">
      <c r="A4" s="4"/>
      <c r="B4" s="4"/>
      <c r="C4" s="8" t="s">
        <v>9</v>
      </c>
      <c r="D4" s="15">
        <v>5</v>
      </c>
      <c r="E4" s="7"/>
      <c r="F4" s="7"/>
      <c r="G4" s="7"/>
    </row>
    <row r="5" spans="1:15" x14ac:dyDescent="0.35">
      <c r="C5" s="8" t="s">
        <v>10</v>
      </c>
      <c r="D5" s="15">
        <v>50000</v>
      </c>
      <c r="E5" s="7"/>
      <c r="F5" s="7"/>
      <c r="G5" s="7"/>
    </row>
    <row r="6" spans="1:15" ht="39" customHeight="1" x14ac:dyDescent="0.45">
      <c r="D6" s="9"/>
      <c r="L6" s="38" t="s">
        <v>22</v>
      </c>
      <c r="M6" s="38"/>
      <c r="N6" s="38"/>
      <c r="O6" s="38"/>
    </row>
    <row r="7" spans="1:15" ht="48" x14ac:dyDescent="0.4">
      <c r="A7" s="26" t="s">
        <v>2</v>
      </c>
      <c r="B7" s="27" t="s">
        <v>3</v>
      </c>
      <c r="C7" s="27" t="s">
        <v>4</v>
      </c>
      <c r="D7" s="28" t="s">
        <v>12</v>
      </c>
      <c r="E7" s="29" t="s">
        <v>11</v>
      </c>
      <c r="F7" s="30" t="s">
        <v>13</v>
      </c>
      <c r="G7" s="31" t="s">
        <v>14</v>
      </c>
      <c r="H7" s="32" t="s">
        <v>5</v>
      </c>
      <c r="I7" s="32" t="s">
        <v>6</v>
      </c>
      <c r="J7" s="26" t="s">
        <v>7</v>
      </c>
      <c r="L7" s="6" t="s">
        <v>18</v>
      </c>
      <c r="M7" s="14" t="s">
        <v>19</v>
      </c>
      <c r="N7" s="13" t="s">
        <v>20</v>
      </c>
      <c r="O7" s="16" t="s">
        <v>21</v>
      </c>
    </row>
    <row r="8" spans="1:15" ht="16" x14ac:dyDescent="0.4">
      <c r="A8" s="33" t="s">
        <v>15</v>
      </c>
      <c r="B8" s="33">
        <v>5850000</v>
      </c>
      <c r="C8" s="33">
        <v>5850000</v>
      </c>
      <c r="D8" s="34">
        <f>B8*$D$3</f>
        <v>117000</v>
      </c>
      <c r="E8" s="35">
        <v>117000</v>
      </c>
      <c r="F8" s="35">
        <f>D8*$D$4</f>
        <v>585000</v>
      </c>
      <c r="G8" s="35">
        <v>585000</v>
      </c>
      <c r="H8" s="36">
        <f>F8-$D$5</f>
        <v>535000</v>
      </c>
      <c r="I8" s="35">
        <v>535000</v>
      </c>
      <c r="J8" s="37">
        <f>I8-H8</f>
        <v>0</v>
      </c>
      <c r="L8" s="5">
        <f>B8-C8</f>
        <v>0</v>
      </c>
      <c r="M8" s="12">
        <f>D8-E8</f>
        <v>0</v>
      </c>
      <c r="N8" s="12">
        <f>F8-G8</f>
        <v>0</v>
      </c>
      <c r="O8" s="12">
        <f>H8-I8</f>
        <v>0</v>
      </c>
    </row>
    <row r="9" spans="1:15" ht="16" x14ac:dyDescent="0.4">
      <c r="A9" s="33" t="s">
        <v>16</v>
      </c>
      <c r="B9" s="33">
        <v>5370000</v>
      </c>
      <c r="C9" s="33">
        <v>5370000</v>
      </c>
      <c r="D9" s="34">
        <f t="shared" ref="D9:D10" si="0">B9*$D$3</f>
        <v>107400</v>
      </c>
      <c r="E9" s="35">
        <v>107400</v>
      </c>
      <c r="F9" s="35">
        <f t="shared" ref="F9:F10" si="1">D9*$D$4</f>
        <v>537000</v>
      </c>
      <c r="G9" s="35">
        <v>537000</v>
      </c>
      <c r="H9" s="36">
        <f t="shared" ref="H9:H10" si="2">F9-$D$5</f>
        <v>487000</v>
      </c>
      <c r="I9" s="35">
        <v>487000</v>
      </c>
      <c r="J9" s="37">
        <f t="shared" ref="J9:J10" si="3">I9-H9</f>
        <v>0</v>
      </c>
      <c r="L9" s="5">
        <f t="shared" ref="L9:L10" si="4">B9-C9</f>
        <v>0</v>
      </c>
      <c r="M9" s="12">
        <f t="shared" ref="M9:M10" si="5">D9-E9</f>
        <v>0</v>
      </c>
      <c r="N9" s="12">
        <f t="shared" ref="N9:N10" si="6">F9-G9</f>
        <v>0</v>
      </c>
      <c r="O9" s="12">
        <f t="shared" ref="O9:O10" si="7">H9-I9</f>
        <v>0</v>
      </c>
    </row>
    <row r="10" spans="1:15" ht="16" x14ac:dyDescent="0.4">
      <c r="A10" s="33" t="s">
        <v>17</v>
      </c>
      <c r="B10" s="33">
        <v>9820000</v>
      </c>
      <c r="C10" s="33">
        <v>9820000</v>
      </c>
      <c r="D10" s="34">
        <f t="shared" si="0"/>
        <v>196400</v>
      </c>
      <c r="E10" s="35">
        <v>196400</v>
      </c>
      <c r="F10" s="35">
        <f t="shared" si="1"/>
        <v>982000</v>
      </c>
      <c r="G10" s="35">
        <v>982000</v>
      </c>
      <c r="H10" s="36">
        <f t="shared" si="2"/>
        <v>932000</v>
      </c>
      <c r="I10" s="35">
        <v>932000</v>
      </c>
      <c r="J10" s="37">
        <f t="shared" si="3"/>
        <v>0</v>
      </c>
      <c r="L10" s="5">
        <f t="shared" si="4"/>
        <v>0</v>
      </c>
      <c r="M10" s="12">
        <f t="shared" si="5"/>
        <v>0</v>
      </c>
      <c r="N10" s="12">
        <f t="shared" si="6"/>
        <v>0</v>
      </c>
      <c r="O10" s="12">
        <f t="shared" si="7"/>
        <v>0</v>
      </c>
    </row>
    <row r="12" spans="1:15" ht="23" customHeight="1" x14ac:dyDescent="0.35">
      <c r="A12" s="17" t="s">
        <v>36</v>
      </c>
      <c r="B12" s="17"/>
      <c r="C12" s="17"/>
      <c r="D12" s="17"/>
      <c r="E12" s="17"/>
    </row>
    <row r="13" spans="1:15" x14ac:dyDescent="0.35">
      <c r="A13" s="20" t="s">
        <v>24</v>
      </c>
      <c r="B13" s="21" t="s">
        <v>26</v>
      </c>
      <c r="C13" s="21" t="s">
        <v>27</v>
      </c>
      <c r="D13" s="21" t="s">
        <v>28</v>
      </c>
      <c r="E13" s="22" t="s">
        <v>29</v>
      </c>
    </row>
    <row r="14" spans="1:15" x14ac:dyDescent="0.35">
      <c r="A14" s="18" t="s">
        <v>38</v>
      </c>
      <c r="B14" s="11" t="s">
        <v>32</v>
      </c>
      <c r="C14" s="11">
        <v>738.19</v>
      </c>
      <c r="D14" s="11" t="s">
        <v>35</v>
      </c>
      <c r="E14" s="19">
        <v>932000</v>
      </c>
    </row>
    <row r="15" spans="1:15" x14ac:dyDescent="0.35">
      <c r="A15" s="18" t="s">
        <v>25</v>
      </c>
      <c r="B15" s="11" t="s">
        <v>30</v>
      </c>
      <c r="C15" s="11">
        <v>507.88</v>
      </c>
      <c r="D15" s="11" t="s">
        <v>33</v>
      </c>
      <c r="E15" s="19">
        <v>535000</v>
      </c>
    </row>
    <row r="16" spans="1:15" x14ac:dyDescent="0.35">
      <c r="A16" s="23" t="s">
        <v>16</v>
      </c>
      <c r="B16" s="24" t="s">
        <v>31</v>
      </c>
      <c r="C16" s="24">
        <v>702.01</v>
      </c>
      <c r="D16" s="24" t="s">
        <v>34</v>
      </c>
      <c r="E16" s="25">
        <v>487000</v>
      </c>
    </row>
    <row r="17" spans="1:3" x14ac:dyDescent="0.35">
      <c r="A17" s="1"/>
    </row>
    <row r="18" spans="1:3" ht="19.5" customHeight="1" x14ac:dyDescent="0.35">
      <c r="A18" s="41" t="s">
        <v>23</v>
      </c>
      <c r="B18" s="41"/>
      <c r="C18" s="41"/>
    </row>
    <row r="19" spans="1:3" ht="56.5" customHeight="1" x14ac:dyDescent="0.35">
      <c r="A19" s="40" t="s">
        <v>37</v>
      </c>
      <c r="B19" s="39"/>
      <c r="C19" s="39"/>
    </row>
  </sheetData>
  <mergeCells count="6">
    <mergeCell ref="A19:C19"/>
    <mergeCell ref="A18:C18"/>
    <mergeCell ref="A4:B4"/>
    <mergeCell ref="A3:B3"/>
    <mergeCell ref="L6:O6"/>
    <mergeCell ref="A12:E12"/>
  </mergeCells>
  <conditionalFormatting sqref="J8:J10">
    <cfRule type="expression" dxfId="1" priority="2">
      <formula>$J$8&lt;&gt;0</formula>
    </cfRule>
  </conditionalFormatting>
  <conditionalFormatting sqref="L8:O10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MPSANE TLHAKODISO NAPE MAHLWELE (202004757)</dc:creator>
  <cp:lastModifiedBy>MR MPSANE TLHAKODISO NAPE MAHLWELE (202004757)</cp:lastModifiedBy>
  <dcterms:created xsi:type="dcterms:W3CDTF">2026-09-15T06:45:26Z</dcterms:created>
  <dcterms:modified xsi:type="dcterms:W3CDTF">2026-09-18T08:37:46Z</dcterms:modified>
</cp:coreProperties>
</file>